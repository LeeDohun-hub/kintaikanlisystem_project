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Space\kintaikanlisystem_project\docs\"/>
    </mc:Choice>
  </mc:AlternateContent>
  <xr:revisionPtr revIDLastSave="0" documentId="13_ncr:1_{E40C36D0-4A3F-4D3F-8B3B-682984E90209}" xr6:coauthVersionLast="47" xr6:coauthVersionMax="47" xr10:uidLastSave="{00000000-0000-0000-0000-000000000000}"/>
  <bookViews>
    <workbookView xWindow="0" yWindow="2390" windowWidth="16920" windowHeight="9560" xr2:uid="{00000000-000D-0000-FFFF-FFFF00000000}"/>
  </bookViews>
  <sheets>
    <sheet name="2026年4月" sheetId="25" r:id="rId1"/>
    <sheet name="Sheet1" sheetId="1" state="hidden" r:id="rId2"/>
  </sheets>
  <calcPr calcId="181029"/>
</workbook>
</file>

<file path=xl/calcChain.xml><?xml version="1.0" encoding="utf-8"?>
<calcChain xmlns="http://schemas.openxmlformats.org/spreadsheetml/2006/main">
  <c r="F17" i="25" l="1"/>
  <c r="F18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6" i="25"/>
  <c r="F15" i="25"/>
  <c r="F14" i="25"/>
  <c r="F13" i="25"/>
  <c r="F12" i="25"/>
  <c r="G12" i="25" s="1"/>
  <c r="G18" i="25" l="1"/>
  <c r="G17" i="25"/>
  <c r="G42" i="25"/>
  <c r="G19" i="25"/>
  <c r="G27" i="25"/>
  <c r="G16" i="25"/>
  <c r="G24" i="25"/>
  <c r="G32" i="25"/>
  <c r="G21" i="25"/>
  <c r="G25" i="25"/>
  <c r="G29" i="25"/>
  <c r="G15" i="25"/>
  <c r="G13" i="25"/>
  <c r="G33" i="25"/>
  <c r="G14" i="25"/>
  <c r="G26" i="25"/>
  <c r="G30" i="25"/>
  <c r="G23" i="25"/>
  <c r="G31" i="25"/>
  <c r="G36" i="25"/>
  <c r="G20" i="25"/>
  <c r="G28" i="25"/>
  <c r="G22" i="25"/>
  <c r="G34" i="25"/>
  <c r="G38" i="25"/>
  <c r="G39" i="25"/>
  <c r="G35" i="25"/>
  <c r="G40" i="25"/>
  <c r="G41" i="25"/>
  <c r="G37" i="25"/>
  <c r="B12" i="25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l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G43" i="25"/>
</calcChain>
</file>

<file path=xl/sharedStrings.xml><?xml version="1.0" encoding="utf-8"?>
<sst xmlns="http://schemas.openxmlformats.org/spreadsheetml/2006/main" count="27" uniqueCount="27">
  <si>
    <t>氏　名：</t>
    <rPh sb="0" eb="1">
      <t>シ</t>
    </rPh>
    <rPh sb="2" eb="3">
      <t>ナ</t>
    </rPh>
    <phoneticPr fontId="2"/>
  </si>
  <si>
    <t>月日</t>
    <rPh sb="0" eb="1">
      <t>ツキ</t>
    </rPh>
    <rPh sb="1" eb="2">
      <t>ヒ</t>
    </rPh>
    <phoneticPr fontId="2"/>
  </si>
  <si>
    <t>始業時刻</t>
    <rPh sb="0" eb="2">
      <t>シギョウ</t>
    </rPh>
    <rPh sb="2" eb="4">
      <t>ジコク</t>
    </rPh>
    <phoneticPr fontId="2"/>
  </si>
  <si>
    <t>終業時刻</t>
    <rPh sb="0" eb="2">
      <t>シュウギョウ</t>
    </rPh>
    <rPh sb="2" eb="4">
      <t>ジコク</t>
    </rPh>
    <phoneticPr fontId="2"/>
  </si>
  <si>
    <t>休憩</t>
    <rPh sb="0" eb="2">
      <t>キュウケイ</t>
    </rPh>
    <phoneticPr fontId="2"/>
  </si>
  <si>
    <t>実働時間</t>
    <rPh sb="0" eb="2">
      <t>ジツドウ</t>
    </rPh>
    <rPh sb="2" eb="4">
      <t>ジカン</t>
    </rPh>
    <phoneticPr fontId="2"/>
  </si>
  <si>
    <t>備　　考</t>
    <rPh sb="0" eb="1">
      <t>ビ</t>
    </rPh>
    <rPh sb="3" eb="4">
      <t>コウ</t>
    </rPh>
    <phoneticPr fontId="2"/>
  </si>
  <si>
    <t>当日</t>
    <rPh sb="0" eb="2">
      <t>トウジツ</t>
    </rPh>
    <phoneticPr fontId="2"/>
  </si>
  <si>
    <t>累計</t>
    <rPh sb="0" eb="2">
      <t>ルイケイ</t>
    </rPh>
    <phoneticPr fontId="2"/>
  </si>
  <si>
    <t>（納入物等）</t>
    <rPh sb="1" eb="3">
      <t>ノウニュウ</t>
    </rPh>
    <rPh sb="3" eb="4">
      <t>ブツ</t>
    </rPh>
    <rPh sb="4" eb="5">
      <t>トウ</t>
    </rPh>
    <phoneticPr fontId="2"/>
  </si>
  <si>
    <t>合計</t>
    <rPh sb="0" eb="2">
      <t>ゴウケイ</t>
    </rPh>
    <phoneticPr fontId="2"/>
  </si>
  <si>
    <t xml:space="preserve"> 下記の通り業務を完了いたしましたので、ご報告いたします。</t>
    <phoneticPr fontId="2"/>
  </si>
  <si>
    <t>分　業務報告書</t>
    <rPh sb="0" eb="1">
      <t>ブン</t>
    </rPh>
    <rPh sb="2" eb="4">
      <t>ギョウム</t>
    </rPh>
    <rPh sb="4" eb="7">
      <t>ホウコクショ</t>
    </rPh>
    <phoneticPr fontId="2"/>
  </si>
  <si>
    <t>1) 年月の指定</t>
    <rPh sb="3" eb="5">
      <t>ﾈﾝｹﾞﾂ</t>
    </rPh>
    <rPh sb="6" eb="8">
      <t>ｼﾃｲ</t>
    </rPh>
    <phoneticPr fontId="7" type="noConversion"/>
  </si>
  <si>
    <t>2) 始業時間、終業時間、休憩、備考を記入する。</t>
    <rPh sb="3" eb="7">
      <t>ｼｷﾞｮｳｼﾞｶﾝ</t>
    </rPh>
    <rPh sb="8" eb="12">
      <t>ｼｭｳｷﾞｮｳｼﾞｶﾝ</t>
    </rPh>
    <rPh sb="13" eb="15">
      <t>ｷｭｳｹｲ</t>
    </rPh>
    <rPh sb="16" eb="18">
      <t>ﾋﾞｺｳ</t>
    </rPh>
    <rPh sb="19" eb="21">
      <t>ｷﾆｭｳ</t>
    </rPh>
    <phoneticPr fontId="7" type="noConversion"/>
  </si>
  <si>
    <t>3) 　　　　　：自動計算</t>
    <rPh sb="9" eb="13">
      <t>ｼﾞﾄﾞｳｹｲｻﾝ</t>
    </rPh>
    <phoneticPr fontId="7" type="noConversion"/>
  </si>
  <si>
    <t>※使い方※</t>
    <rPh sb="1" eb="2">
      <t>ﾂｶ</t>
    </rPh>
    <rPh sb="3" eb="4">
      <t>ｶﾀ</t>
    </rPh>
    <phoneticPr fontId="7" type="noConversion"/>
  </si>
  <si>
    <t>李到勳(Lee DoHun)</t>
    <rPh sb="0" eb="1">
      <t>リ</t>
    </rPh>
    <rPh sb="1" eb="2">
      <t>イタル</t>
    </rPh>
    <rPh sb="2" eb="3">
      <t>イサオ</t>
    </rPh>
    <phoneticPr fontId="2"/>
  </si>
  <si>
    <t>勤務開始、OT、 勤務先紹介</t>
    <phoneticPr fontId="7" type="noConversion"/>
  </si>
  <si>
    <t>開発業務に関する基礎知識</t>
    <phoneticPr fontId="7" type="noConversion"/>
  </si>
  <si>
    <t>開発環境設定、トレーニングシステム_概要、要件定義</t>
    <phoneticPr fontId="7" type="noConversion"/>
  </si>
  <si>
    <t>データベース設計、アプリケーション（プログラム）設計</t>
    <phoneticPr fontId="7" type="noConversion"/>
  </si>
  <si>
    <t>マスターテーブル設計、画面設計、ログイン画面設計</t>
    <phoneticPr fontId="7" type="noConversion"/>
  </si>
  <si>
    <t>社員マスターテーブル機能、excelインポート機能、
月別レポートpdf機能</t>
    <phoneticPr fontId="7" type="noConversion"/>
  </si>
  <si>
    <t>リファクタリング</t>
    <phoneticPr fontId="7" type="noConversion"/>
  </si>
  <si>
    <t>午前：マイナンバーカード受け取り、午後：東京ビックサイト</t>
  </si>
  <si>
    <t>CSV読み込み機能、月ごとに入力機能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</si>
</sst>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;@"/>
    <numFmt numFmtId="177" formatCode="m&quot;月&quot;d&quot;日&quot;\(aaa\)"/>
    <numFmt numFmtId="178" formatCode="h:mm;@"/>
    <numFmt numFmtId="179" formatCode="[h]:mm"/>
    <numFmt numFmtId="180" formatCode="0_);[Red]\(0\)"/>
  </numFmts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name val="Meiryo UI"/>
      <family val="3"/>
      <charset val="128"/>
    </font>
    <font>
      <sz val="11"/>
      <name val="Meiryo UI"/>
      <family val="3"/>
      <charset val="128"/>
    </font>
    <font>
      <sz val="16"/>
      <name val="Meiryo UI"/>
      <family val="3"/>
      <charset val="128"/>
    </font>
    <font>
      <sz val="10.5"/>
      <name val="Meiryo UI"/>
      <family val="3"/>
      <charset val="128"/>
    </font>
    <font>
      <sz val="8"/>
      <name val="돋움"/>
      <family val="3"/>
      <charset val="129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40">
    <xf numFmtId="0" fontId="0" fillId="0" borderId="0" xfId="0">
      <alignment vertical="center"/>
    </xf>
    <xf numFmtId="0" fontId="3" fillId="2" borderId="0" xfId="2" applyFont="1" applyFill="1" applyAlignment="1">
      <alignment vertical="center"/>
    </xf>
    <xf numFmtId="0" fontId="4" fillId="2" borderId="0" xfId="1" applyFont="1" applyFill="1"/>
    <xf numFmtId="0" fontId="3" fillId="2" borderId="0" xfId="1" applyFont="1" applyFill="1"/>
    <xf numFmtId="0" fontId="4" fillId="0" borderId="0" xfId="1" applyFont="1"/>
    <xf numFmtId="0" fontId="4" fillId="2" borderId="0" xfId="1" applyFont="1" applyFill="1" applyAlignment="1">
      <alignment horizontal="center"/>
    </xf>
    <xf numFmtId="0" fontId="5" fillId="2" borderId="0" xfId="1" applyFont="1" applyFill="1"/>
    <xf numFmtId="176" fontId="5" fillId="2" borderId="0" xfId="1" applyNumberFormat="1" applyFont="1" applyFill="1" applyAlignment="1">
      <alignment horizontal="right"/>
    </xf>
    <xf numFmtId="176" fontId="6" fillId="2" borderId="0" xfId="1" applyNumberFormat="1" applyFont="1" applyFill="1" applyAlignment="1">
      <alignment horizontal="left"/>
    </xf>
    <xf numFmtId="0" fontId="4" fillId="0" borderId="0" xfId="1" applyFont="1" applyAlignment="1">
      <alignment horizontal="center"/>
    </xf>
    <xf numFmtId="179" fontId="4" fillId="2" borderId="4" xfId="1" applyNumberFormat="1" applyFont="1" applyFill="1" applyBorder="1" applyAlignment="1">
      <alignment horizontal="right"/>
    </xf>
    <xf numFmtId="178" fontId="4" fillId="2" borderId="4" xfId="1" applyNumberFormat="1" applyFont="1" applyFill="1" applyBorder="1" applyAlignment="1">
      <alignment horizontal="right"/>
    </xf>
    <xf numFmtId="0" fontId="4" fillId="2" borderId="5" xfId="1" applyFont="1" applyFill="1" applyBorder="1" applyAlignment="1">
      <alignment shrinkToFit="1"/>
    </xf>
    <xf numFmtId="0" fontId="4" fillId="3" borderId="3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0" fontId="4" fillId="2" borderId="7" xfId="1" applyFont="1" applyFill="1" applyBorder="1" applyAlignment="1">
      <alignment shrinkToFit="1"/>
    </xf>
    <xf numFmtId="0" fontId="4" fillId="2" borderId="2" xfId="1" applyFont="1" applyFill="1" applyBorder="1" applyAlignment="1">
      <alignment vertical="center"/>
    </xf>
    <xf numFmtId="180" fontId="4" fillId="0" borderId="0" xfId="1" applyNumberFormat="1" applyFont="1"/>
    <xf numFmtId="179" fontId="4" fillId="4" borderId="4" xfId="1" applyNumberFormat="1" applyFont="1" applyFill="1" applyBorder="1"/>
    <xf numFmtId="177" fontId="4" fillId="4" borderId="5" xfId="1" applyNumberFormat="1" applyFont="1" applyFill="1" applyBorder="1" applyAlignment="1">
      <alignment horizontal="center" vertical="center"/>
    </xf>
    <xf numFmtId="179" fontId="4" fillId="4" borderId="7" xfId="1" applyNumberFormat="1" applyFont="1" applyFill="1" applyBorder="1"/>
    <xf numFmtId="0" fontId="8" fillId="2" borderId="0" xfId="1" applyFont="1" applyFill="1"/>
    <xf numFmtId="0" fontId="4" fillId="2" borderId="0" xfId="1" applyFont="1" applyFill="1" applyAlignment="1">
      <alignment vertical="top"/>
    </xf>
    <xf numFmtId="179" fontId="4" fillId="5" borderId="4" xfId="1" applyNumberFormat="1" applyFont="1" applyFill="1" applyBorder="1" applyAlignment="1">
      <alignment horizontal="right"/>
    </xf>
    <xf numFmtId="178" fontId="4" fillId="5" borderId="4" xfId="1" applyNumberFormat="1" applyFont="1" applyFill="1" applyBorder="1" applyAlignment="1">
      <alignment horizontal="right"/>
    </xf>
    <xf numFmtId="0" fontId="9" fillId="2" borderId="5" xfId="1" applyFont="1" applyFill="1" applyBorder="1" applyAlignment="1">
      <alignment shrinkToFit="1"/>
    </xf>
    <xf numFmtId="0" fontId="4" fillId="0" borderId="5" xfId="0" applyFont="1" applyBorder="1" applyAlignment="1">
      <alignment vertical="center" shrinkToFit="1"/>
    </xf>
    <xf numFmtId="0" fontId="4" fillId="0" borderId="5" xfId="1" applyFont="1" applyBorder="1" applyAlignment="1">
      <alignment shrinkToFit="1"/>
    </xf>
    <xf numFmtId="0" fontId="4" fillId="2" borderId="8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  <xf numFmtId="176" fontId="5" fillId="2" borderId="0" xfId="1" applyNumberFormat="1" applyFont="1" applyFill="1" applyAlignment="1">
      <alignment horizontal="right"/>
    </xf>
    <xf numFmtId="0" fontId="4" fillId="2" borderId="2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/>
    </xf>
  </cellXfs>
  <cellStyles count="3">
    <cellStyle name="標準" xfId="0" builtinId="0"/>
    <cellStyle name="標準_勤務表_雛形" xfId="1" xr:uid="{00000000-0005-0000-0000-000001000000}"/>
    <cellStyle name="標準_作業報告書フォーマット 060707" xfId="2" xr:uid="{00000000-0005-0000-0000-000002000000}"/>
  </cellStyles>
  <dxfs count="0"/>
  <tableStyles count="0" defaultTableStyle="TableStyleMedium9" defaultPivotStyle="PivotStyleLight16"/>
  <colors>
    <mruColors>
      <color rgb="FFFFB40D"/>
      <color rgb="FFFFBD29"/>
      <color rgb="FFC88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244929</xdr:colOff>
      <xdr:row>6</xdr:row>
      <xdr:rowOff>48980</xdr:rowOff>
    </xdr:from>
    <xdr:to>
      <xdr:col>7</xdr:col>
      <xdr:colOff>587829</xdr:colOff>
      <xdr:row>6</xdr:row>
      <xdr:rowOff>190494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2370BD3-5FF4-55AC-F57F-AE4C50CBEAE8}"/>
            </a:ext>
          </a:extLst>
        </xdr:cNvPr>
        <xdr:cNvSpPr/>
      </xdr:nvSpPr>
      <xdr:spPr>
        <a:xfrm>
          <a:off x="5236029" y="1616523"/>
          <a:ext cx="342900" cy="141514"/>
        </a:xfrm>
        <a:prstGeom prst="rect">
          <a:avLst/>
        </a:prstGeom>
        <a:solidFill>
          <a:srgbClr val="FFB40D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6</xdr:col>
      <xdr:colOff>810986</xdr:colOff>
      <xdr:row>3</xdr:row>
      <xdr:rowOff>32657</xdr:rowOff>
    </xdr:from>
    <xdr:to>
      <xdr:col>7</xdr:col>
      <xdr:colOff>3559629</xdr:colOff>
      <xdr:row>7</xdr:row>
      <xdr:rowOff>87085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372EF7D-6B77-4466-0820-F97500290C89}"/>
            </a:ext>
          </a:extLst>
        </xdr:cNvPr>
        <xdr:cNvSpPr/>
      </xdr:nvSpPr>
      <xdr:spPr>
        <a:xfrm>
          <a:off x="4909457" y="898071"/>
          <a:ext cx="3641272" cy="103414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3598-C0EC-4013-A6F3-F97344074702}">
  <sheetPr codeName="Sheet1">
    <pageSetUpPr fitToPage="1"/>
  </sheetPr>
  <dimension ref="A1:L44"/>
  <sheetViews>
    <sheetView tabSelected="1" topLeftCell="A10" zoomScaleNormal="100" zoomScaleSheetLayoutView="85" workbookViewId="0">
      <selection activeCell="H25" sqref="H25"/>
    </sheetView>
  </sheetViews>
  <sheetFormatPr defaultColWidth="8.90625" defaultRowHeight="15"/>
  <cols>
    <col min="1" max="1" width="4" style="4" customWidth="1"/>
    <col min="2" max="2" width="15.26953125" style="4" customWidth="1"/>
    <col min="3" max="4" width="10.36328125" style="4" customWidth="1"/>
    <col min="5" max="5" width="6.08984375" style="4" customWidth="1"/>
    <col min="6" max="6" width="12" style="4" customWidth="1"/>
    <col min="7" max="7" width="12.6328125" style="4" customWidth="1"/>
    <col min="8" max="8" width="50.7265625" style="4" customWidth="1"/>
    <col min="9" max="9" width="1" style="4" customWidth="1"/>
    <col min="10" max="10" width="0.90625" style="4" customWidth="1"/>
    <col min="11" max="11" width="8.90625" style="4"/>
    <col min="12" max="12" width="11.26953125" style="4" bestFit="1" customWidth="1"/>
    <col min="13" max="16384" width="8.90625" style="4"/>
  </cols>
  <sheetData>
    <row r="1" spans="1:10" ht="22.4" customHeight="1">
      <c r="A1" s="1"/>
      <c r="B1" s="2"/>
      <c r="C1" s="2"/>
      <c r="D1" s="2"/>
      <c r="E1" s="2"/>
      <c r="F1" s="2"/>
      <c r="G1" s="2"/>
      <c r="H1" s="3"/>
      <c r="I1" s="2"/>
      <c r="J1" s="2"/>
    </row>
    <row r="2" spans="1:10" ht="22.4" customHeight="1">
      <c r="A2" s="2"/>
      <c r="B2" s="2"/>
      <c r="C2" s="2"/>
      <c r="D2" s="2"/>
      <c r="E2" s="2"/>
      <c r="F2" s="2"/>
      <c r="G2" s="2"/>
      <c r="H2" s="3"/>
      <c r="I2" s="5"/>
      <c r="J2" s="2"/>
    </row>
    <row r="3" spans="1:10" ht="23.65" customHeight="1">
      <c r="A3" s="2"/>
      <c r="B3" s="33">
        <v>46113</v>
      </c>
      <c r="C3" s="33"/>
      <c r="D3" s="6" t="s">
        <v>12</v>
      </c>
      <c r="E3" s="6"/>
      <c r="F3" s="2"/>
      <c r="G3" s="2"/>
      <c r="H3" s="2"/>
      <c r="I3" s="2"/>
      <c r="J3" s="2"/>
    </row>
    <row r="4" spans="1:10" ht="23.65" customHeight="1">
      <c r="A4" s="2"/>
      <c r="B4" s="7"/>
      <c r="C4" s="7"/>
      <c r="D4" s="6"/>
      <c r="E4" s="6"/>
      <c r="F4" s="2"/>
      <c r="G4" s="2"/>
      <c r="H4" s="22" t="s">
        <v>16</v>
      </c>
      <c r="I4" s="2"/>
      <c r="J4" s="2"/>
    </row>
    <row r="5" spans="1:10" ht="16" customHeight="1">
      <c r="A5" s="2"/>
      <c r="B5" s="8" t="s">
        <v>11</v>
      </c>
      <c r="C5" s="7"/>
      <c r="D5" s="6"/>
      <c r="E5" s="6"/>
      <c r="F5" s="2"/>
      <c r="G5" s="2"/>
      <c r="H5" s="23" t="s">
        <v>13</v>
      </c>
      <c r="I5" s="2"/>
      <c r="J5" s="2"/>
    </row>
    <row r="6" spans="1:10" ht="16" customHeight="1">
      <c r="A6" s="2"/>
      <c r="B6" s="2"/>
      <c r="C6" s="2"/>
      <c r="D6" s="2"/>
      <c r="E6" s="2"/>
      <c r="F6" s="2"/>
      <c r="G6" s="2"/>
      <c r="H6" s="2" t="s">
        <v>14</v>
      </c>
      <c r="I6" s="2"/>
      <c r="J6" s="2"/>
    </row>
    <row r="7" spans="1:10" ht="16" customHeight="1">
      <c r="A7" s="2"/>
      <c r="B7" s="17" t="s">
        <v>0</v>
      </c>
      <c r="C7" s="34" t="s">
        <v>17</v>
      </c>
      <c r="D7" s="35"/>
      <c r="E7" s="35"/>
      <c r="F7" s="36"/>
      <c r="G7" s="2"/>
      <c r="H7" s="2" t="s">
        <v>15</v>
      </c>
      <c r="I7" s="2"/>
      <c r="J7" s="2"/>
    </row>
    <row r="8" spans="1:10" ht="1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s="9" customFormat="1" ht="15" customHeight="1">
      <c r="A10" s="5"/>
      <c r="B10" s="37" t="s">
        <v>1</v>
      </c>
      <c r="C10" s="37" t="s">
        <v>2</v>
      </c>
      <c r="D10" s="37" t="s">
        <v>3</v>
      </c>
      <c r="E10" s="37" t="s">
        <v>4</v>
      </c>
      <c r="F10" s="39" t="s">
        <v>5</v>
      </c>
      <c r="G10" s="39"/>
      <c r="H10" s="13" t="s">
        <v>6</v>
      </c>
      <c r="I10" s="5"/>
      <c r="J10" s="5"/>
    </row>
    <row r="11" spans="1:10" s="9" customFormat="1" ht="15" customHeight="1">
      <c r="A11" s="5"/>
      <c r="B11" s="38"/>
      <c r="C11" s="38"/>
      <c r="D11" s="38"/>
      <c r="E11" s="38"/>
      <c r="F11" s="14" t="s">
        <v>7</v>
      </c>
      <c r="G11" s="14" t="s">
        <v>8</v>
      </c>
      <c r="H11" s="15" t="s">
        <v>9</v>
      </c>
      <c r="I11" s="5"/>
      <c r="J11" s="5"/>
    </row>
    <row r="12" spans="1:10" ht="15" customHeight="1">
      <c r="A12" s="2"/>
      <c r="B12" s="20">
        <f>B3</f>
        <v>46113</v>
      </c>
      <c r="C12" s="10">
        <v>0.41666666666666669</v>
      </c>
      <c r="D12" s="10">
        <v>0.75</v>
      </c>
      <c r="E12" s="11">
        <v>4.1666666666666664E-2</v>
      </c>
      <c r="F12" s="19">
        <f t="shared" ref="F12" si="0">IF(C12="","",D12-C12-E12)</f>
        <v>0.29166666666666663</v>
      </c>
      <c r="G12" s="19">
        <f>SUM(F$12:F12)</f>
        <v>0.29166666666666663</v>
      </c>
      <c r="H12" s="12" t="s">
        <v>18</v>
      </c>
      <c r="I12" s="2"/>
      <c r="J12" s="2"/>
    </row>
    <row r="13" spans="1:10" ht="15" customHeight="1">
      <c r="A13" s="2"/>
      <c r="B13" s="20">
        <f>B12+1</f>
        <v>46114</v>
      </c>
      <c r="C13" s="10">
        <v>0.375</v>
      </c>
      <c r="D13" s="10">
        <v>0.75</v>
      </c>
      <c r="E13" s="11">
        <v>4.1666666666666664E-2</v>
      </c>
      <c r="F13" s="19">
        <f t="shared" ref="F13:F42" si="1">IF(C13="","",D13-C13-E13)</f>
        <v>0.33333333333333331</v>
      </c>
      <c r="G13" s="19">
        <f>SUM(F$12:F13)</f>
        <v>0.625</v>
      </c>
      <c r="H13" s="27" t="s">
        <v>19</v>
      </c>
      <c r="I13" s="2"/>
      <c r="J13" s="2"/>
    </row>
    <row r="14" spans="1:10" ht="15" customHeight="1">
      <c r="A14" s="2"/>
      <c r="B14" s="20">
        <f>B13+1</f>
        <v>46115</v>
      </c>
      <c r="C14" s="10">
        <v>0.375</v>
      </c>
      <c r="D14" s="10">
        <v>0.75</v>
      </c>
      <c r="E14" s="11">
        <v>4.1666666666666664E-2</v>
      </c>
      <c r="F14" s="19">
        <f t="shared" si="1"/>
        <v>0.33333333333333331</v>
      </c>
      <c r="G14" s="19">
        <f>SUM(F$12:F14)</f>
        <v>0.95833333333333326</v>
      </c>
      <c r="H14" s="27" t="s">
        <v>20</v>
      </c>
      <c r="I14" s="2"/>
      <c r="J14" s="2"/>
    </row>
    <row r="15" spans="1:10" ht="15" customHeight="1">
      <c r="A15" s="2"/>
      <c r="B15" s="20">
        <f t="shared" ref="B15:B42" si="2">B14+1</f>
        <v>46116</v>
      </c>
      <c r="C15" s="10"/>
      <c r="D15" s="10"/>
      <c r="E15" s="11"/>
      <c r="F15" s="19" t="str">
        <f>IF(C15="","",D15-C15-E15)</f>
        <v/>
      </c>
      <c r="G15" s="19">
        <f>SUM(F$12:F15)</f>
        <v>0.95833333333333326</v>
      </c>
      <c r="H15" s="27"/>
      <c r="I15" s="2"/>
      <c r="J15" s="2"/>
    </row>
    <row r="16" spans="1:10" ht="15" customHeight="1">
      <c r="A16" s="2"/>
      <c r="B16" s="20">
        <f t="shared" si="2"/>
        <v>46117</v>
      </c>
      <c r="C16" s="10"/>
      <c r="D16" s="10"/>
      <c r="E16" s="11"/>
      <c r="F16" s="19" t="str">
        <f>IF(C16="","",D16-C16-E16)</f>
        <v/>
      </c>
      <c r="G16" s="19">
        <f>SUM(F$12:F16)</f>
        <v>0.95833333333333326</v>
      </c>
      <c r="H16" s="12"/>
      <c r="I16" s="2"/>
      <c r="J16" s="2"/>
    </row>
    <row r="17" spans="1:10" ht="15" customHeight="1">
      <c r="A17" s="2"/>
      <c r="B17" s="20">
        <f t="shared" si="2"/>
        <v>46118</v>
      </c>
      <c r="C17" s="10">
        <v>0.375</v>
      </c>
      <c r="D17" s="10">
        <v>0.75</v>
      </c>
      <c r="E17" s="11">
        <v>4.1666666666666664E-2</v>
      </c>
      <c r="F17" s="19">
        <f>IF(C17="","",D17-C17-E17)</f>
        <v>0.33333333333333331</v>
      </c>
      <c r="G17" s="19">
        <f>SUM(F$12:F17)</f>
        <v>1.2916666666666665</v>
      </c>
      <c r="H17" s="27" t="s">
        <v>21</v>
      </c>
      <c r="I17" s="2"/>
      <c r="J17" s="2"/>
    </row>
    <row r="18" spans="1:10" ht="15" customHeight="1">
      <c r="A18" s="2"/>
      <c r="B18" s="20">
        <f t="shared" si="2"/>
        <v>46119</v>
      </c>
      <c r="C18" s="10">
        <v>0.375</v>
      </c>
      <c r="D18" s="10">
        <v>0.75</v>
      </c>
      <c r="E18" s="11">
        <v>4.1666666666666664E-2</v>
      </c>
      <c r="F18" s="19">
        <f>IF(C18="","",D18-C18-E18)</f>
        <v>0.33333333333333331</v>
      </c>
      <c r="G18" s="19">
        <f>SUM(F$12:F18)</f>
        <v>1.6249999999999998</v>
      </c>
      <c r="H18" s="12" t="s">
        <v>22</v>
      </c>
      <c r="I18" s="2"/>
      <c r="J18" s="2"/>
    </row>
    <row r="19" spans="1:10" ht="15" customHeight="1">
      <c r="A19" s="2"/>
      <c r="B19" s="20">
        <f t="shared" si="2"/>
        <v>46120</v>
      </c>
      <c r="C19" s="10">
        <v>0.375</v>
      </c>
      <c r="D19" s="10">
        <v>0.75</v>
      </c>
      <c r="E19" s="11">
        <v>4.1666666666666664E-2</v>
      </c>
      <c r="F19" s="19">
        <f t="shared" si="1"/>
        <v>0.33333333333333331</v>
      </c>
      <c r="G19" s="19">
        <f>SUM(F$12:F19)</f>
        <v>1.958333333333333</v>
      </c>
      <c r="H19" s="28" t="s">
        <v>23</v>
      </c>
      <c r="I19" s="2"/>
      <c r="J19" s="2"/>
    </row>
    <row r="20" spans="1:10" ht="15" customHeight="1">
      <c r="A20" s="2"/>
      <c r="B20" s="20">
        <f t="shared" si="2"/>
        <v>46121</v>
      </c>
      <c r="C20" s="10">
        <v>0.375</v>
      </c>
      <c r="D20" s="10">
        <v>0.75</v>
      </c>
      <c r="E20" s="11">
        <v>4.1666666666666664E-2</v>
      </c>
      <c r="F20" s="19">
        <f t="shared" si="1"/>
        <v>0.33333333333333331</v>
      </c>
      <c r="G20" s="19">
        <f>SUM(F$12:F20)</f>
        <v>2.2916666666666665</v>
      </c>
      <c r="H20" s="27" t="s">
        <v>24</v>
      </c>
      <c r="I20" s="2"/>
      <c r="J20" s="2"/>
    </row>
    <row r="21" spans="1:10" ht="15" customHeight="1">
      <c r="A21" s="2"/>
      <c r="B21" s="20">
        <f t="shared" si="2"/>
        <v>46122</v>
      </c>
      <c r="C21" s="10">
        <v>0.375</v>
      </c>
      <c r="D21" s="10">
        <v>0.75</v>
      </c>
      <c r="E21" s="11">
        <v>4.1666666666666664E-2</v>
      </c>
      <c r="F21" s="19">
        <f t="shared" si="1"/>
        <v>0.33333333333333331</v>
      </c>
      <c r="G21" s="19">
        <f>SUM(F$12:F21)</f>
        <v>2.625</v>
      </c>
      <c r="H21" s="27" t="s">
        <v>25</v>
      </c>
      <c r="I21" s="2"/>
      <c r="J21" s="2"/>
    </row>
    <row r="22" spans="1:10" ht="15" customHeight="1">
      <c r="A22" s="2"/>
      <c r="B22" s="20">
        <f t="shared" si="2"/>
        <v>46123</v>
      </c>
      <c r="C22" s="10"/>
      <c r="D22" s="10"/>
      <c r="E22" s="11"/>
      <c r="F22" s="19" t="str">
        <f t="shared" si="1"/>
        <v/>
      </c>
      <c r="G22" s="19">
        <f>SUM(F$12:F22)</f>
        <v>2.625</v>
      </c>
      <c r="H22" s="27"/>
      <c r="I22" s="2"/>
      <c r="J22" s="2"/>
    </row>
    <row r="23" spans="1:10" ht="15" customHeight="1">
      <c r="A23" s="2"/>
      <c r="B23" s="20">
        <f t="shared" si="2"/>
        <v>46124</v>
      </c>
      <c r="C23" s="10"/>
      <c r="D23" s="10"/>
      <c r="E23" s="11"/>
      <c r="F23" s="19" t="str">
        <f t="shared" si="1"/>
        <v/>
      </c>
      <c r="G23" s="19">
        <f>SUM(F$12:F23)</f>
        <v>2.625</v>
      </c>
      <c r="H23" s="27"/>
      <c r="I23" s="2"/>
      <c r="J23" s="2"/>
    </row>
    <row r="24" spans="1:10" ht="15" customHeight="1">
      <c r="A24" s="2"/>
      <c r="B24" s="20">
        <f t="shared" si="2"/>
        <v>46125</v>
      </c>
      <c r="C24" s="10">
        <v>0.375</v>
      </c>
      <c r="D24" s="10">
        <v>0.75</v>
      </c>
      <c r="E24" s="11">
        <v>4.1666666666666664E-2</v>
      </c>
      <c r="F24" s="19">
        <f t="shared" si="1"/>
        <v>0.33333333333333331</v>
      </c>
      <c r="G24" s="19">
        <f>SUM(F$12:F24)</f>
        <v>2.9583333333333335</v>
      </c>
      <c r="H24" s="27" t="s">
        <v>26</v>
      </c>
      <c r="I24" s="2"/>
      <c r="J24" s="2"/>
    </row>
    <row r="25" spans="1:10" ht="15" customHeight="1">
      <c r="A25" s="2"/>
      <c r="B25" s="20">
        <f t="shared" si="2"/>
        <v>46126</v>
      </c>
      <c r="C25" s="24"/>
      <c r="D25" s="24"/>
      <c r="E25" s="25"/>
      <c r="F25" s="19" t="str">
        <f t="shared" si="1"/>
        <v/>
      </c>
      <c r="G25" s="19">
        <f>SUM(F$12:F25)</f>
        <v>2.9583333333333335</v>
      </c>
      <c r="H25" s="12"/>
      <c r="I25" s="2"/>
      <c r="J25" s="2"/>
    </row>
    <row r="26" spans="1:10" ht="15" customHeight="1">
      <c r="A26" s="2"/>
      <c r="B26" s="20">
        <f t="shared" si="2"/>
        <v>46127</v>
      </c>
      <c r="C26" s="24"/>
      <c r="D26" s="24"/>
      <c r="E26" s="25"/>
      <c r="F26" s="19" t="str">
        <f t="shared" si="1"/>
        <v/>
      </c>
      <c r="G26" s="19">
        <f>SUM(F$12:F26)</f>
        <v>2.9583333333333335</v>
      </c>
      <c r="H26" s="12"/>
      <c r="I26" s="2"/>
      <c r="J26" s="2"/>
    </row>
    <row r="27" spans="1:10" ht="15" customHeight="1">
      <c r="A27" s="2"/>
      <c r="B27" s="20">
        <f>B26+1</f>
        <v>46128</v>
      </c>
      <c r="C27" s="10"/>
      <c r="D27" s="10"/>
      <c r="E27" s="11"/>
      <c r="F27" s="19" t="str">
        <f t="shared" si="1"/>
        <v/>
      </c>
      <c r="G27" s="19">
        <f>SUM(F$12:F27)</f>
        <v>2.9583333333333335</v>
      </c>
      <c r="H27" s="27"/>
      <c r="I27" s="2"/>
      <c r="J27" s="2"/>
    </row>
    <row r="28" spans="1:10" ht="15" customHeight="1">
      <c r="A28" s="2"/>
      <c r="B28" s="20">
        <f t="shared" si="2"/>
        <v>46129</v>
      </c>
      <c r="C28" s="10"/>
      <c r="D28" s="10"/>
      <c r="E28" s="11"/>
      <c r="F28" s="19" t="str">
        <f t="shared" si="1"/>
        <v/>
      </c>
      <c r="G28" s="19">
        <f>SUM(F$12:F28)</f>
        <v>2.9583333333333335</v>
      </c>
      <c r="H28" s="27"/>
      <c r="I28" s="2"/>
      <c r="J28" s="2"/>
    </row>
    <row r="29" spans="1:10" ht="15" customHeight="1">
      <c r="A29" s="2"/>
      <c r="B29" s="20">
        <f t="shared" si="2"/>
        <v>46130</v>
      </c>
      <c r="C29" s="10"/>
      <c r="D29" s="10"/>
      <c r="E29" s="11"/>
      <c r="F29" s="19" t="str">
        <f t="shared" si="1"/>
        <v/>
      </c>
      <c r="G29" s="19">
        <f>SUM(F$12:F29)</f>
        <v>2.9583333333333335</v>
      </c>
      <c r="H29" s="27"/>
      <c r="I29" s="2"/>
      <c r="J29" s="2"/>
    </row>
    <row r="30" spans="1:10" ht="15" customHeight="1">
      <c r="A30" s="2"/>
      <c r="B30" s="20">
        <f t="shared" si="2"/>
        <v>46131</v>
      </c>
      <c r="C30" s="10"/>
      <c r="D30" s="10"/>
      <c r="E30" s="11"/>
      <c r="F30" s="19" t="str">
        <f t="shared" si="1"/>
        <v/>
      </c>
      <c r="G30" s="19">
        <f>SUM(F$12:F30)</f>
        <v>2.9583333333333335</v>
      </c>
      <c r="H30" s="27"/>
      <c r="I30" s="2"/>
      <c r="J30" s="2"/>
    </row>
    <row r="31" spans="1:10" ht="15" customHeight="1">
      <c r="A31" s="2"/>
      <c r="B31" s="20">
        <f t="shared" si="2"/>
        <v>46132</v>
      </c>
      <c r="C31" s="24"/>
      <c r="D31" s="24"/>
      <c r="E31" s="25"/>
      <c r="F31" s="19" t="str">
        <f t="shared" si="1"/>
        <v/>
      </c>
      <c r="G31" s="19">
        <f>SUM(F$12:F31)</f>
        <v>2.9583333333333335</v>
      </c>
      <c r="H31" s="12"/>
      <c r="I31" s="2"/>
      <c r="J31" s="2"/>
    </row>
    <row r="32" spans="1:10" ht="15" customHeight="1">
      <c r="A32" s="2"/>
      <c r="B32" s="20">
        <f t="shared" si="2"/>
        <v>46133</v>
      </c>
      <c r="C32" s="24"/>
      <c r="D32" s="24"/>
      <c r="E32" s="25"/>
      <c r="F32" s="19" t="str">
        <f t="shared" si="1"/>
        <v/>
      </c>
      <c r="G32" s="19">
        <f>SUM(F$12:F32)</f>
        <v>2.9583333333333335</v>
      </c>
      <c r="H32" s="26"/>
      <c r="I32" s="2"/>
      <c r="J32" s="2"/>
    </row>
    <row r="33" spans="1:12" ht="15" customHeight="1">
      <c r="A33" s="2"/>
      <c r="B33" s="20">
        <f t="shared" si="2"/>
        <v>46134</v>
      </c>
      <c r="C33" s="24"/>
      <c r="D33" s="24"/>
      <c r="E33" s="25"/>
      <c r="F33" s="19" t="str">
        <f t="shared" si="1"/>
        <v/>
      </c>
      <c r="G33" s="19">
        <f>SUM(F$12:F33)</f>
        <v>2.9583333333333335</v>
      </c>
      <c r="H33" s="12"/>
      <c r="I33" s="2"/>
      <c r="J33" s="2"/>
    </row>
    <row r="34" spans="1:12" ht="15" customHeight="1">
      <c r="A34" s="2"/>
      <c r="B34" s="20">
        <f t="shared" si="2"/>
        <v>46135</v>
      </c>
      <c r="C34" s="10"/>
      <c r="D34" s="10"/>
      <c r="E34" s="11"/>
      <c r="F34" s="19" t="str">
        <f t="shared" si="1"/>
        <v/>
      </c>
      <c r="G34" s="19">
        <f>SUM(F$12:F34)</f>
        <v>2.9583333333333335</v>
      </c>
      <c r="H34" s="27"/>
      <c r="I34" s="2"/>
      <c r="J34" s="2"/>
    </row>
    <row r="35" spans="1:12" ht="15" customHeight="1">
      <c r="A35" s="2"/>
      <c r="B35" s="20">
        <f t="shared" si="2"/>
        <v>46136</v>
      </c>
      <c r="C35" s="10"/>
      <c r="D35" s="10"/>
      <c r="E35" s="11"/>
      <c r="F35" s="19" t="str">
        <f t="shared" si="1"/>
        <v/>
      </c>
      <c r="G35" s="19">
        <f>SUM(F$12:F35)</f>
        <v>2.9583333333333335</v>
      </c>
      <c r="H35" s="12"/>
      <c r="I35" s="2"/>
      <c r="J35" s="2"/>
    </row>
    <row r="36" spans="1:12" ht="15" customHeight="1">
      <c r="A36" s="2"/>
      <c r="B36" s="20">
        <f t="shared" si="2"/>
        <v>46137</v>
      </c>
      <c r="C36" s="10"/>
      <c r="D36" s="10"/>
      <c r="E36" s="11"/>
      <c r="F36" s="19" t="str">
        <f t="shared" si="1"/>
        <v/>
      </c>
      <c r="G36" s="19">
        <f>SUM(F$12:F36)</f>
        <v>2.9583333333333335</v>
      </c>
      <c r="H36" s="27"/>
      <c r="I36" s="2"/>
      <c r="J36" s="2"/>
    </row>
    <row r="37" spans="1:12" ht="15" customHeight="1">
      <c r="A37" s="2"/>
      <c r="B37" s="20">
        <f t="shared" si="2"/>
        <v>46138</v>
      </c>
      <c r="C37" s="10"/>
      <c r="D37" s="10"/>
      <c r="E37" s="11"/>
      <c r="F37" s="19" t="str">
        <f t="shared" si="1"/>
        <v/>
      </c>
      <c r="G37" s="19">
        <f>SUM(F$12:F37)</f>
        <v>2.9583333333333335</v>
      </c>
      <c r="H37" s="27"/>
      <c r="I37" s="2"/>
      <c r="J37" s="2"/>
    </row>
    <row r="38" spans="1:12" ht="15" customHeight="1">
      <c r="A38" s="2"/>
      <c r="B38" s="20">
        <f t="shared" si="2"/>
        <v>46139</v>
      </c>
      <c r="C38" s="10"/>
      <c r="D38" s="10"/>
      <c r="E38" s="11"/>
      <c r="F38" s="19" t="str">
        <f t="shared" si="1"/>
        <v/>
      </c>
      <c r="G38" s="19">
        <f>SUM(F$12:F38)</f>
        <v>2.9583333333333335</v>
      </c>
      <c r="H38" s="27"/>
      <c r="I38" s="2"/>
      <c r="J38" s="2"/>
    </row>
    <row r="39" spans="1:12" ht="15" customHeight="1">
      <c r="A39" s="2"/>
      <c r="B39" s="20">
        <f t="shared" si="2"/>
        <v>46140</v>
      </c>
      <c r="C39" s="24"/>
      <c r="D39" s="24"/>
      <c r="E39" s="25"/>
      <c r="F39" s="19" t="str">
        <f t="shared" si="1"/>
        <v/>
      </c>
      <c r="G39" s="19">
        <f>SUM(F$12:F39)</f>
        <v>2.9583333333333335</v>
      </c>
      <c r="H39" s="27"/>
      <c r="I39" s="2"/>
      <c r="J39" s="2"/>
    </row>
    <row r="40" spans="1:12" ht="15" customHeight="1">
      <c r="A40" s="2"/>
      <c r="B40" s="20">
        <f t="shared" si="2"/>
        <v>46141</v>
      </c>
      <c r="C40" s="24"/>
      <c r="D40" s="24"/>
      <c r="E40" s="25"/>
      <c r="F40" s="19" t="str">
        <f t="shared" si="1"/>
        <v/>
      </c>
      <c r="G40" s="19">
        <f>SUM(F$12:F40)</f>
        <v>2.9583333333333335</v>
      </c>
      <c r="H40" s="27"/>
      <c r="I40" s="2"/>
      <c r="J40" s="2"/>
    </row>
    <row r="41" spans="1:12" ht="15" customHeight="1">
      <c r="A41" s="2"/>
      <c r="B41" s="20">
        <f t="shared" si="2"/>
        <v>46142</v>
      </c>
      <c r="C41" s="10"/>
      <c r="D41" s="10"/>
      <c r="E41" s="11"/>
      <c r="F41" s="19" t="str">
        <f t="shared" si="1"/>
        <v/>
      </c>
      <c r="G41" s="19">
        <f>SUM(F$12:F41)</f>
        <v>2.9583333333333335</v>
      </c>
      <c r="H41" s="27"/>
      <c r="I41" s="2"/>
      <c r="J41" s="2"/>
    </row>
    <row r="42" spans="1:12" ht="15" customHeight="1" thickBot="1">
      <c r="A42" s="2"/>
      <c r="B42" s="20">
        <f t="shared" si="2"/>
        <v>46143</v>
      </c>
      <c r="C42" s="10"/>
      <c r="D42" s="10"/>
      <c r="E42" s="11"/>
      <c r="F42" s="19" t="str">
        <f t="shared" si="1"/>
        <v/>
      </c>
      <c r="G42" s="19">
        <f>SUM(F$12:F42)</f>
        <v>2.9583333333333335</v>
      </c>
      <c r="H42" s="12"/>
      <c r="I42" s="2"/>
      <c r="J42" s="2"/>
    </row>
    <row r="43" spans="1:12" ht="18.649999999999999" customHeight="1" thickTop="1">
      <c r="A43" s="2"/>
      <c r="B43" s="29" t="s">
        <v>10</v>
      </c>
      <c r="C43" s="30"/>
      <c r="D43" s="30"/>
      <c r="E43" s="31"/>
      <c r="F43" s="32"/>
      <c r="G43" s="21">
        <f>SUM(F$12:F43)</f>
        <v>2.9583333333333335</v>
      </c>
      <c r="H43" s="16"/>
      <c r="I43" s="2"/>
      <c r="J43" s="2"/>
      <c r="L43" s="18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mergeCells count="8">
    <mergeCell ref="B43:F43"/>
    <mergeCell ref="B3:C3"/>
    <mergeCell ref="C7:F7"/>
    <mergeCell ref="B10:B11"/>
    <mergeCell ref="C10:C11"/>
    <mergeCell ref="D10:D11"/>
    <mergeCell ref="E10:E11"/>
    <mergeCell ref="F10:G10"/>
  </mergeCells>
  <phoneticPr fontId="7" type="noConversion"/>
  <pageMargins left="0.48" right="0.43" top="0.81" bottom="0.8" header="0.51200000000000001" footer="0.51200000000000001"/>
  <pageSetup paperSize="9" scale="76" fitToHeight="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"/>
  <sheetData/>
  <phoneticPr fontId="2"/>
  <pageMargins left="0.78700000000000003" right="0.78700000000000003" top="0.98399999999999999" bottom="0.98399999999999999" header="0.51200000000000001" footer="0.51200000000000001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2026年4月</vt:lpstr>
      <vt:lpstr>Sheet1</vt:lpstr>
    </vt:vector>
  </TitlesOfParts>
  <Company>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isobe.shunichi</dc:creator>
  <cp:lastModifiedBy>jaehoon Park</cp:lastModifiedBy>
  <cp:lastPrinted>2024-10-30T23:34:41Z</cp:lastPrinted>
  <dcterms:created xsi:type="dcterms:W3CDTF">2012-06-25T02:18:48Z</dcterms:created>
  <dcterms:modified xsi:type="dcterms:W3CDTF">2026-04-13T09:00:05Z</dcterms:modified>
</cp:coreProperties>
</file>